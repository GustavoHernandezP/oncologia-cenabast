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1. Dependencia Importación" sheetId="2" state="visible" r:id="rId4"/>
    <sheet name="2. Expendio Serv. Salu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<sst xmlns="http://schemas.openxmlformats.org/spreadsheetml/2006/main" count="187" uniqueCount="159">
  <si>
    <t xml:space="preserve">ANÁLISIS — DEPENDENCIA DE IMPORTACIÓN Y EXPENDIO EN SERVICIOS DE SALUD</t>
  </si>
  <si>
    <t xml:space="preserve">Complemento del Deck de Información · Gremio de Laboratorios · Chile</t>
  </si>
  <si>
    <t xml:space="preserve">Este libro ataca dos cruces solicitados: (1) dependencia de importación por laboratorio y (2) expendio de medicamentos por producto en los servicios de salud. Antes de los datos, una verdad metodológica que define lo que es posible con fuentes gratuitas:</t>
  </si>
  <si>
    <t xml:space="preserve">Cruce</t>
  </si>
  <si>
    <t xml:space="preserve">Qué SÍ se puede con datos gratuitos</t>
  </si>
  <si>
    <t xml:space="preserve">Brecha</t>
  </si>
  <si>
    <t xml:space="preserve">Dependencia de importación por laboratorio</t>
  </si>
  <si>
    <t xml:space="preserve">Importación por ítem arancelario (Cap. 30), molécula, país de origen, valor CIF y cantidad. Proxy de portafolio por laboratorio vía titular del Registro Sanitario (ISP).</t>
  </si>
  <si>
    <t xml:space="preserve">Atribución NOMINAL por laboratorio (Aduanas anonimiza al importador)</t>
  </si>
  <si>
    <t xml:space="preserve">Expendio por medicamento en servicios de salud</t>
  </si>
  <si>
    <t xml:space="preserve">Compra/adjudicación pública por producto y proveedor (Mercado Público, línea a línea). Participación de CENABAST en el gasto de farmacia de los Servicios de Salud.</t>
  </si>
  <si>
    <t xml:space="preserve">Dispensación paciente a paciente (no se publica por privacidad)</t>
  </si>
  <si>
    <t xml:space="preserve">Rutas para cerrar la brecha nominal por laboratorio: (a) usar el Registro Sanitario del ISP (titular del registro) como proxy de portafolio e importación — gratuito; (b) contratar un proveedor comercial de datos de comercio exterior con importador identificado; (c) descargar los registros DIN mensuales de Aduanas (datos.gob.cl) a la carpeta de trabajo y procesarlos aquí: puedo filtrar el Cap. 30 y agregar por ítem, país y valor (no requiere fetch web, solo que los archivos estén en la carpeta).</t>
  </si>
  <si>
    <t xml:space="preserve">1. DEPENDENCIA DE IMPORTACIÓN (PRODUCTOS FARMACÉUTICOS, CAP. 30)</t>
  </si>
  <si>
    <t xml:space="preserve">1.1  Cifra agregada de comercio exterior farmacéutico</t>
  </si>
  <si>
    <t xml:space="preserve">Concepto</t>
  </si>
  <si>
    <t xml:space="preserve">Valor</t>
  </si>
  <si>
    <t xml:space="preserve">Año</t>
  </si>
  <si>
    <t xml:space="preserve">Fuente / Nota</t>
  </si>
  <si>
    <t xml:space="preserve">Importaciones de productos farmacéuticos</t>
  </si>
  <si>
    <t xml:space="preserve">USD 2.472 millones</t>
  </si>
  <si>
    <t xml:space="preserve">2021</t>
  </si>
  <si>
    <t xml:space="preserve">Aduanas (vía Cercal 2024)</t>
  </si>
  <si>
    <t xml:space="preserve">Crecimiento importaciones vs 2019</t>
  </si>
  <si>
    <t xml:space="preserve">+51%</t>
  </si>
  <si>
    <t xml:space="preserve">Crecimiento importaciones vs 2020</t>
  </si>
  <si>
    <t xml:space="preserve">+42%</t>
  </si>
  <si>
    <t xml:space="preserve">Exportaciones de productos farmacéuticos</t>
  </si>
  <si>
    <t xml:space="preserve">USD 172 millones</t>
  </si>
  <si>
    <t xml:space="preserve">Déficit comercial farmacéutico (aprox.)</t>
  </si>
  <si>
    <t xml:space="preserve">USD 2.300 millones</t>
  </si>
  <si>
    <t xml:space="preserve">Cálculo (import − export)</t>
  </si>
  <si>
    <t xml:space="preserve">Razón importación / exportación</t>
  </si>
  <si>
    <t xml:space="preserve">≈ 14 : 1</t>
  </si>
  <si>
    <t xml:space="preserve">Cálculo</t>
  </si>
  <si>
    <t xml:space="preserve">Conclusión: el sector es estructuralmente dependiente de importaciones (importa ~14x lo que exporta). Identificar qué moléculas y países concentran esa importación es la base para evaluar sustitución local y poder de negociación.</t>
  </si>
  <si>
    <t xml:space="preserve">1.2  Subpartidas a filtrar dentro del Capítulo 30 (Arancel)</t>
  </si>
  <si>
    <t xml:space="preserve">Código HS</t>
  </si>
  <si>
    <t xml:space="preserve">Descripción</t>
  </si>
  <si>
    <t xml:space="preserve">Relevancia farma</t>
  </si>
  <si>
    <t xml:space="preserve">Comentario</t>
  </si>
  <si>
    <t xml:space="preserve">3001</t>
  </si>
  <si>
    <t xml:space="preserve">Glándulas, órganos, heparina y derivados</t>
  </si>
  <si>
    <t xml:space="preserve">Media</t>
  </si>
  <si>
    <t xml:space="preserve">Insumos biológicos.</t>
  </si>
  <si>
    <t xml:space="preserve">3002</t>
  </si>
  <si>
    <t xml:space="preserve">Sangre, antisueros, vacunas, cultivos, toxinas</t>
  </si>
  <si>
    <t xml:space="preserve">Alta</t>
  </si>
  <si>
    <t xml:space="preserve">Vacunas y biológicos.</t>
  </si>
  <si>
    <t xml:space="preserve">3003</t>
  </si>
  <si>
    <t xml:space="preserve">Medicamentos sin dosificar / no acondicionados para venta al por menor</t>
  </si>
  <si>
    <t xml:space="preserve">Graneles / bulk.</t>
  </si>
  <si>
    <t xml:space="preserve">3004</t>
  </si>
  <si>
    <t xml:space="preserve">Medicamentos dosificados o acondicionados para venta al por menor</t>
  </si>
  <si>
    <t xml:space="preserve">Muy alta</t>
  </si>
  <si>
    <t xml:space="preserve">El grueso del valor importado.</t>
  </si>
  <si>
    <t xml:space="preserve">3005</t>
  </si>
  <si>
    <t xml:space="preserve">Guatas, gasas, vendas y apósitos</t>
  </si>
  <si>
    <t xml:space="preserve">Baja</t>
  </si>
  <si>
    <t xml:space="preserve">Insumo, no medicamento.</t>
  </si>
  <si>
    <t xml:space="preserve">3006</t>
  </si>
  <si>
    <t xml:space="preserve">Preparaciones y artículos farmacéuticos diversos</t>
  </si>
  <si>
    <t xml:space="preserve">Misceláneos farmacéuticos.</t>
  </si>
  <si>
    <t xml:space="preserve">1.3  Estructura del Registro de Importación (DIN) — datos.gob.cl</t>
  </si>
  <si>
    <t xml:space="preserve">Campo (típico)</t>
  </si>
  <si>
    <t xml:space="preserve">Disponible</t>
  </si>
  <si>
    <t xml:space="preserve">¿Sirve para lab?</t>
  </si>
  <si>
    <t xml:space="preserve">Nota</t>
  </si>
  <si>
    <t xml:space="preserve">Ítem arancelario (HS 8 díg.)</t>
  </si>
  <si>
    <t xml:space="preserve">Sí</t>
  </si>
  <si>
    <t xml:space="preserve">Indirecto</t>
  </si>
  <si>
    <t xml:space="preserve">Filtrar 3001–3006.</t>
  </si>
  <si>
    <t xml:space="preserve">Glosa de mercancía / descripción</t>
  </si>
  <si>
    <t xml:space="preserve">Parcial</t>
  </si>
  <si>
    <t xml:space="preserve">A veces nombra el producto/marca.</t>
  </si>
  <si>
    <t xml:space="preserve">País de origen / adquisición</t>
  </si>
  <si>
    <t xml:space="preserve">Mapa de dependencia por país.</t>
  </si>
  <si>
    <t xml:space="preserve">Valor CIF / FOB, flete, seguro</t>
  </si>
  <si>
    <t xml:space="preserve">Magnitud económica.</t>
  </si>
  <si>
    <t xml:space="preserve">Cantidad / unidad</t>
  </si>
  <si>
    <t xml:space="preserve">Volumen físico.</t>
  </si>
  <si>
    <t xml:space="preserve">Importador (RUT / nombre)</t>
  </si>
  <si>
    <t xml:space="preserve">NO (encriptado)</t>
  </si>
  <si>
    <t xml:space="preserve">NO</t>
  </si>
  <si>
    <t xml:space="preserve">Código encriptado: impide atribución nominal.</t>
  </si>
  <si>
    <t xml:space="preserve">Fecha de aceptación DIN</t>
  </si>
  <si>
    <t xml:space="preserve">Serie temporal mensual.</t>
  </si>
  <si>
    <t xml:space="preserve">Archivos: datos.gob.cl → 'Registro de Importación' por año (mensual, partido en 4–6 partes c/u). Estructura oficial: 'descripcion-y-estructura-de-datos-din.xlsx'.</t>
  </si>
  <si>
    <t xml:space="preserve">1.4  Proxy gratuito de portafolio por laboratorio (Registro Sanitario ISP) — PLANTILLA</t>
  </si>
  <si>
    <t xml:space="preserve">Laboratorio (titular)</t>
  </si>
  <si>
    <t xml:space="preserve">N° registros vigentes</t>
  </si>
  <si>
    <t xml:space="preserve">Importados (proxy)</t>
  </si>
  <si>
    <t xml:space="preserve">% importado</t>
  </si>
  <si>
    <t xml:space="preserve">Laboratorio Chile (TEVA)</t>
  </si>
  <si>
    <t xml:space="preserve">Saval</t>
  </si>
  <si>
    <t xml:space="preserve">Andrómaco (Grünenthal)</t>
  </si>
  <si>
    <t xml:space="preserve">Abbott (ex Recalcine/CFR)</t>
  </si>
  <si>
    <t xml:space="preserve">Bagó</t>
  </si>
  <si>
    <t xml:space="preserve">Pfizer</t>
  </si>
  <si>
    <t xml:space="preserve">Sanofi</t>
  </si>
  <si>
    <t xml:space="preserve">Otros / a completar</t>
  </si>
  <si>
    <t xml:space="preserve">TOTAL</t>
  </si>
  <si>
    <t xml:space="preserve">Cómo poblar: consultar registrosanitario.ispch.gob.cl por titular y contar registros vigentes; marcar cuáles declaran fabricación en el extranjero (proxy de importación). Es una aproximación de AMPLITUD de portafolio, no de ventas ni de valor importado.</t>
  </si>
  <si>
    <t xml:space="preserve">2. EXPENDIO DE MEDICAMENTOS EN LOS SERVICIOS DE SALUD</t>
  </si>
  <si>
    <t xml:space="preserve">El 'expendio' en el sector público se entiende como adquisición y distribución de medicamentos a los 29 Servicios de Salud y sus establecimientos. CENABAST intermedia gran parte de esa compra; el detalle por producto y proveedor es público vía Mercado Público. La dispensación individual a pacientes no se publica.</t>
  </si>
  <si>
    <t xml:space="preserve">2.1  Fuentes de expendio público por producto</t>
  </si>
  <si>
    <t xml:space="preserve">Fuente</t>
  </si>
  <si>
    <t xml:space="preserve">Granularidad</t>
  </si>
  <si>
    <t xml:space="preserve">Qué entrega</t>
  </si>
  <si>
    <t xml:space="preserve">Acceso</t>
  </si>
  <si>
    <t xml:space="preserve">Mercado Público / ChileCompra (datos abiertos)</t>
  </si>
  <si>
    <t xml:space="preserve">Línea de orden de compra</t>
  </si>
  <si>
    <t xml:space="preserve">Producto, proveedor, cantidad, precio unitario, organismo comprador.</t>
  </si>
  <si>
    <t xml:space="preserve">CSV/API gratuito</t>
  </si>
  <si>
    <t xml:space="preserve">Observatorio CENABAST</t>
  </si>
  <si>
    <t xml:space="preserve">Producto / establecimiento</t>
  </si>
  <si>
    <t xml:space="preserve">Demanda por establecimiento, cumplimiento de entregas, contratos por proveedor.</t>
  </si>
  <si>
    <t xml:space="preserve">Dashboard web</t>
  </si>
  <si>
    <t xml:space="preserve">CENABAST – Participación e Intermediación (datos.gob.cl)</t>
  </si>
  <si>
    <t xml:space="preserve">Servicio de Salud</t>
  </si>
  <si>
    <t xml:space="preserve">Participación de CENABAST en el gasto devengado de farmacia de los SS.</t>
  </si>
  <si>
    <t xml:space="preserve">xlsx (2012/2015)</t>
  </si>
  <si>
    <t xml:space="preserve">DEIS – MINSAL</t>
  </si>
  <si>
    <t xml:space="preserve">Establecimiento / comuna</t>
  </si>
  <si>
    <t xml:space="preserve">Prescripción y dispensación en la red pública; morbilidad asociada.</t>
  </si>
  <si>
    <t xml:space="preserve">Datos abiertos</t>
  </si>
  <si>
    <t xml:space="preserve">Transparencia activa SS / hospitales</t>
  </si>
  <si>
    <t xml:space="preserve">Establecimiento</t>
  </si>
  <si>
    <t xml:space="preserve">Compras y contratos de cada Servicio de Salud.</t>
  </si>
  <si>
    <t xml:space="preserve">Portales de transparencia</t>
  </si>
  <si>
    <t xml:space="preserve">2.2  Cifras públicas conocidas del abastecimiento público</t>
  </si>
  <si>
    <t xml:space="preserve">Indicador</t>
  </si>
  <si>
    <t xml:space="preserve">Ahorro fiscal por compras CENABAST</t>
  </si>
  <si>
    <t xml:space="preserve">USD 640 millones</t>
  </si>
  <si>
    <t xml:space="preserve">2024</t>
  </si>
  <si>
    <t xml:space="preserve">CENABAST</t>
  </si>
  <si>
    <t xml:space="preserve">Rol CENABAST</t>
  </si>
  <si>
    <t xml:space="preserve">Abastece a toda la red pública (&gt;90 años)</t>
  </si>
  <si>
    <t xml:space="preserve">Brecha de precio cadenas vs sector público</t>
  </si>
  <si>
    <t xml:space="preserve">Cadenas pagan ≈ +70%</t>
  </si>
  <si>
    <t xml:space="preserve">2018</t>
  </si>
  <si>
    <t xml:space="preserve">FNE EM03-2018</t>
  </si>
  <si>
    <t xml:space="preserve">Brecha cadenas vs institucionales privados</t>
  </si>
  <si>
    <t xml:space="preserve">Cadenas pagan ≈ +60%</t>
  </si>
  <si>
    <t xml:space="preserve">N° de Servicios de Salud (demandantes)</t>
  </si>
  <si>
    <t xml:space="preserve">29</t>
  </si>
  <si>
    <t xml:space="preserve">MINSAL</t>
  </si>
  <si>
    <t xml:space="preserve">2.3  PLANTILLA — Expendio público por medicamento (poblar desde Mercado Público / Observatorio)</t>
  </si>
  <si>
    <t xml:space="preserve">Medicamento / Principio activo</t>
  </si>
  <si>
    <t xml:space="preserve">Unidades adquiridas</t>
  </si>
  <si>
    <t xml:space="preserve">Gasto total (CLP)</t>
  </si>
  <si>
    <t xml:space="preserve">Precio unit. prom. (CLP)</t>
  </si>
  <si>
    <t xml:space="preserve">Paracetamol 500 mg</t>
  </si>
  <si>
    <t xml:space="preserve">Losartán 50 mg</t>
  </si>
  <si>
    <t xml:space="preserve">Metformina 850 mg</t>
  </si>
  <si>
    <t xml:space="preserve">Atorvastatina 20 mg</t>
  </si>
  <si>
    <t xml:space="preserve">Omeprazol 20 mg</t>
  </si>
  <si>
    <t xml:space="preserve">(agregar productos)</t>
  </si>
  <si>
    <t xml:space="preserve">Ruta de ejecución recomendada (gratuita): descargar de Mercado Público (datos abiertos) las órdenes de compra de los Servicios de Salud y CENABAST filtradas por rubro medicamentos, y consolidarlas por principio activo. Eso entrega expendio público por medicamento (unidades, gasto y precio) sin costo. Si dejas los CSV en la carpeta de trabajo, los proceso y lleno esta plantilla con datos reales.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</si>
</sst>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BE4E4"/>
        <bgColor rgb="FFF2F2F2"/>
      </patternFill>
    </fill>
    <fill>
      <patternFill patternType="solid">
        <fgColor rgb="FFF2F2F2"/>
        <bgColor rgb="FFEAF0FA"/>
      </patternFill>
    </fill>
    <fill>
      <patternFill patternType="solid">
        <fgColor rgb="FFE2EFDA"/>
        <bgColor rgb="FFEAF0FA"/>
      </patternFill>
    </fill>
    <fill>
      <patternFill patternType="solid">
        <fgColor rgb="FFFFF2CC"/>
        <bgColor rgb="FFFBE4E4"/>
      </patternFill>
    </fill>
    <fill>
      <patternFill patternType="solid">
        <fgColor rgb="FFEAF0F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64"/>
    <col collapsed="false" customWidth="true" hidden="false" outlineLevel="0" max="4" min="4" style="0" width="16"/>
  </cols>
  <sheetData>
    <row r="2" customFormat="false" ht="33.75" hidden="false" customHeight="true" outlineLevel="0" collapsed="false">
      <c r="B2" s="1" t="s">
        <v>0</v>
      </c>
      <c r="C2" s="1"/>
      <c r="D2" s="1"/>
    </row>
    <row r="3" customFormat="false" ht="19.5" hidden="false" customHeight="true" outlineLevel="0" collapsed="false">
      <c r="B3" s="2" t="s">
        <v>1</v>
      </c>
      <c r="C3" s="2"/>
      <c r="D3" s="2"/>
    </row>
    <row r="5" customFormat="false" ht="42" hidden="false" customHeight="true" outlineLevel="0" collapsed="false">
      <c r="B5" s="3" t="s">
        <v>2</v>
      </c>
      <c r="C5" s="3"/>
      <c r="D5" s="3"/>
    </row>
    <row r="7" customFormat="false" ht="15" hidden="false" customHeight="false" outlineLevel="0" collapsed="false">
      <c r="B7" s="4" t="s">
        <v>3</v>
      </c>
      <c r="C7" s="4" t="s">
        <v>4</v>
      </c>
      <c r="D7" s="4" t="s">
        <v>5</v>
      </c>
    </row>
    <row r="8" customFormat="false" ht="57.75" hidden="false" customHeight="true" outlineLevel="0" collapsed="false">
      <c r="B8" s="5" t="s">
        <v>6</v>
      </c>
      <c r="C8" s="6" t="s">
        <v>7</v>
      </c>
      <c r="D8" s="7" t="s">
        <v>8</v>
      </c>
    </row>
    <row r="9" customFormat="false" ht="57.75" hidden="false" customHeight="true" outlineLevel="0" collapsed="false">
      <c r="B9" s="8" t="s">
        <v>9</v>
      </c>
      <c r="C9" s="9" t="s">
        <v>10</v>
      </c>
      <c r="D9" s="7" t="s">
        <v>11</v>
      </c>
    </row>
    <row r="11" customFormat="false" ht="15" hidden="false" customHeight="true" outlineLevel="0" collapsed="false">
      <c r="B11" s="10" t="s">
        <v>12</v>
      </c>
      <c r="C11" s="10"/>
      <c r="D11" s="10"/>
    </row>
    <row r="12" customFormat="false" ht="15" hidden="false" customHeight="false" outlineLevel="0" collapsed="false">
      <c r="B12" s="10"/>
      <c r="C12" s="10"/>
      <c r="D12" s="10"/>
    </row>
    <row r="13" customFormat="false" ht="15" hidden="false" customHeight="false" outlineLevel="0" collapsed="false">
      <c r="B13" s="10"/>
      <c r="C13" s="10"/>
      <c r="D13" s="10"/>
    </row>
    <row r="14" customFormat="false" ht="15" hidden="false" customHeight="false" outlineLevel="0" collapsed="false">
      <c r="B14" s="10"/>
      <c r="C14" s="10"/>
      <c r="D14" s="10"/>
    </row>
  </sheetData>
  <mergeCells count="4">
    <mergeCell ref="B2:D2"/>
    <mergeCell ref="B3:D3"/>
    <mergeCell ref="B5:D5"/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4"/>
  </cols>
  <sheetData>
    <row r="2" customFormat="false" ht="27.75" hidden="false" customHeight="true" outlineLevel="0" collapsed="false">
      <c r="B2" s="11" t="s">
        <v>13</v>
      </c>
      <c r="C2" s="11"/>
      <c r="D2" s="11"/>
      <c r="E2" s="11"/>
    </row>
    <row r="4" customFormat="false" ht="15" hidden="false" customHeight="true" outlineLevel="0" collapsed="false">
      <c r="B4" s="12" t="s">
        <v>14</v>
      </c>
      <c r="C4" s="12"/>
      <c r="D4" s="12"/>
      <c r="E4" s="12"/>
    </row>
    <row r="5" customFormat="false" ht="15" hidden="false" customHeight="false" outlineLevel="0" collapsed="false">
      <c r="B5" s="13" t="s">
        <v>15</v>
      </c>
      <c r="C5" s="13" t="s">
        <v>16</v>
      </c>
      <c r="D5" s="13" t="s">
        <v>17</v>
      </c>
      <c r="E5" s="13" t="s">
        <v>18</v>
      </c>
    </row>
    <row r="6" customFormat="false" ht="19.5" hidden="false" customHeight="true" outlineLevel="0" collapsed="false">
      <c r="B6" s="14" t="s">
        <v>19</v>
      </c>
      <c r="C6" s="5" t="s">
        <v>20</v>
      </c>
      <c r="D6" s="14" t="s">
        <v>21</v>
      </c>
      <c r="E6" s="6" t="s">
        <v>22</v>
      </c>
    </row>
    <row r="7" customFormat="false" ht="19.5" hidden="false" customHeight="true" outlineLevel="0" collapsed="false">
      <c r="B7" s="15" t="s">
        <v>23</v>
      </c>
      <c r="C7" s="8" t="s">
        <v>24</v>
      </c>
      <c r="D7" s="15" t="s">
        <v>21</v>
      </c>
      <c r="E7" s="9" t="s">
        <v>22</v>
      </c>
    </row>
    <row r="8" customFormat="false" ht="19.5" hidden="false" customHeight="true" outlineLevel="0" collapsed="false">
      <c r="B8" s="14" t="s">
        <v>25</v>
      </c>
      <c r="C8" s="5" t="s">
        <v>26</v>
      </c>
      <c r="D8" s="14" t="s">
        <v>21</v>
      </c>
      <c r="E8" s="6" t="s">
        <v>22</v>
      </c>
    </row>
    <row r="9" customFormat="false" ht="19.5" hidden="false" customHeight="true" outlineLevel="0" collapsed="false">
      <c r="B9" s="15" t="s">
        <v>27</v>
      </c>
      <c r="C9" s="8" t="s">
        <v>28</v>
      </c>
      <c r="D9" s="15" t="s">
        <v>21</v>
      </c>
      <c r="E9" s="9" t="s">
        <v>22</v>
      </c>
    </row>
    <row r="10" customFormat="false" ht="19.5" hidden="false" customHeight="true" outlineLevel="0" collapsed="false">
      <c r="B10" s="14" t="s">
        <v>29</v>
      </c>
      <c r="C10" s="5" t="s">
        <v>30</v>
      </c>
      <c r="D10" s="14" t="s">
        <v>21</v>
      </c>
      <c r="E10" s="6" t="s">
        <v>31</v>
      </c>
    </row>
    <row r="11" customFormat="false" ht="19.5" hidden="false" customHeight="true" outlineLevel="0" collapsed="false">
      <c r="B11" s="15" t="s">
        <v>32</v>
      </c>
      <c r="C11" s="8" t="s">
        <v>33</v>
      </c>
      <c r="D11" s="15" t="s">
        <v>21</v>
      </c>
      <c r="E11" s="9" t="s">
        <v>34</v>
      </c>
    </row>
    <row r="12" customFormat="false" ht="42" hidden="false" customHeight="true" outlineLevel="0" collapsed="false">
      <c r="B12" s="16" t="s">
        <v>35</v>
      </c>
      <c r="C12" s="16"/>
      <c r="D12" s="16"/>
      <c r="E12" s="16"/>
    </row>
    <row r="14" customFormat="false" ht="15" hidden="false" customHeight="true" outlineLevel="0" collapsed="false">
      <c r="B14" s="12" t="s">
        <v>36</v>
      </c>
      <c r="C14" s="12"/>
      <c r="D14" s="12"/>
      <c r="E14" s="12"/>
    </row>
    <row r="15" customFormat="false" ht="15" hidden="false" customHeight="false" outlineLevel="0" collapsed="false">
      <c r="B15" s="17" t="s">
        <v>37</v>
      </c>
      <c r="C15" s="17" t="s">
        <v>38</v>
      </c>
      <c r="D15" s="17" t="s">
        <v>39</v>
      </c>
      <c r="E15" s="17" t="s">
        <v>40</v>
      </c>
    </row>
    <row r="16" customFormat="false" ht="27.75" hidden="false" customHeight="true" outlineLevel="0" collapsed="false">
      <c r="B16" s="5" t="s">
        <v>41</v>
      </c>
      <c r="C16" s="6" t="s">
        <v>42</v>
      </c>
      <c r="D16" s="14" t="s">
        <v>43</v>
      </c>
      <c r="E16" s="6" t="s">
        <v>44</v>
      </c>
    </row>
    <row r="17" customFormat="false" ht="27.75" hidden="false" customHeight="true" outlineLevel="0" collapsed="false">
      <c r="B17" s="8" t="s">
        <v>45</v>
      </c>
      <c r="C17" s="9" t="s">
        <v>46</v>
      </c>
      <c r="D17" s="15" t="s">
        <v>47</v>
      </c>
      <c r="E17" s="9" t="s">
        <v>48</v>
      </c>
    </row>
    <row r="18" customFormat="false" ht="27.75" hidden="false" customHeight="true" outlineLevel="0" collapsed="false">
      <c r="B18" s="5" t="s">
        <v>49</v>
      </c>
      <c r="C18" s="6" t="s">
        <v>50</v>
      </c>
      <c r="D18" s="14" t="s">
        <v>47</v>
      </c>
      <c r="E18" s="6" t="s">
        <v>51</v>
      </c>
    </row>
    <row r="19" customFormat="false" ht="27.75" hidden="false" customHeight="true" outlineLevel="0" collapsed="false">
      <c r="B19" s="8" t="s">
        <v>52</v>
      </c>
      <c r="C19" s="9" t="s">
        <v>53</v>
      </c>
      <c r="D19" s="15" t="s">
        <v>54</v>
      </c>
      <c r="E19" s="9" t="s">
        <v>55</v>
      </c>
    </row>
    <row r="20" customFormat="false" ht="27.75" hidden="false" customHeight="true" outlineLevel="0" collapsed="false">
      <c r="B20" s="5" t="s">
        <v>56</v>
      </c>
      <c r="C20" s="6" t="s">
        <v>57</v>
      </c>
      <c r="D20" s="14" t="s">
        <v>58</v>
      </c>
      <c r="E20" s="6" t="s">
        <v>59</v>
      </c>
    </row>
    <row r="21" customFormat="false" ht="27.75" hidden="false" customHeight="true" outlineLevel="0" collapsed="false">
      <c r="B21" s="8" t="s">
        <v>60</v>
      </c>
      <c r="C21" s="9" t="s">
        <v>61</v>
      </c>
      <c r="D21" s="15" t="s">
        <v>43</v>
      </c>
      <c r="E21" s="9" t="s">
        <v>62</v>
      </c>
    </row>
    <row r="23" customFormat="false" ht="15" hidden="false" customHeight="true" outlineLevel="0" collapsed="false">
      <c r="B23" s="12" t="s">
        <v>63</v>
      </c>
      <c r="C23" s="12"/>
      <c r="D23" s="12"/>
      <c r="E23" s="12"/>
    </row>
    <row r="24" customFormat="false" ht="15" hidden="false" customHeight="false" outlineLevel="0" collapsed="false">
      <c r="B24" s="17" t="s">
        <v>64</v>
      </c>
      <c r="C24" s="17" t="s">
        <v>65</v>
      </c>
      <c r="D24" s="17" t="s">
        <v>66</v>
      </c>
      <c r="E24" s="17" t="s">
        <v>67</v>
      </c>
    </row>
    <row r="25" customFormat="false" ht="24" hidden="false" customHeight="true" outlineLevel="0" collapsed="false">
      <c r="B25" s="6" t="s">
        <v>68</v>
      </c>
      <c r="C25" s="18" t="s">
        <v>69</v>
      </c>
      <c r="D25" s="19" t="s">
        <v>70</v>
      </c>
      <c r="E25" s="6" t="s">
        <v>71</v>
      </c>
    </row>
    <row r="26" customFormat="false" ht="24" hidden="false" customHeight="true" outlineLevel="0" collapsed="false">
      <c r="B26" s="9" t="s">
        <v>72</v>
      </c>
      <c r="C26" s="20" t="s">
        <v>69</v>
      </c>
      <c r="D26" s="19" t="s">
        <v>73</v>
      </c>
      <c r="E26" s="9" t="s">
        <v>74</v>
      </c>
    </row>
    <row r="27" customFormat="false" ht="24" hidden="false" customHeight="true" outlineLevel="0" collapsed="false">
      <c r="B27" s="6" t="s">
        <v>75</v>
      </c>
      <c r="C27" s="18" t="s">
        <v>69</v>
      </c>
      <c r="D27" s="21" t="s">
        <v>69</v>
      </c>
      <c r="E27" s="6" t="s">
        <v>76</v>
      </c>
    </row>
    <row r="28" customFormat="false" ht="24" hidden="false" customHeight="true" outlineLevel="0" collapsed="false">
      <c r="B28" s="9" t="s">
        <v>77</v>
      </c>
      <c r="C28" s="20" t="s">
        <v>69</v>
      </c>
      <c r="D28" s="21" t="s">
        <v>69</v>
      </c>
      <c r="E28" s="9" t="s">
        <v>78</v>
      </c>
    </row>
    <row r="29" customFormat="false" ht="24" hidden="false" customHeight="true" outlineLevel="0" collapsed="false">
      <c r="B29" s="6" t="s">
        <v>79</v>
      </c>
      <c r="C29" s="18" t="s">
        <v>69</v>
      </c>
      <c r="D29" s="21" t="s">
        <v>69</v>
      </c>
      <c r="E29" s="6" t="s">
        <v>80</v>
      </c>
    </row>
    <row r="30" customFormat="false" ht="24" hidden="false" customHeight="true" outlineLevel="0" collapsed="false">
      <c r="B30" s="9" t="s">
        <v>81</v>
      </c>
      <c r="C30" s="20" t="s">
        <v>82</v>
      </c>
      <c r="D30" s="22" t="s">
        <v>83</v>
      </c>
      <c r="E30" s="9" t="s">
        <v>84</v>
      </c>
    </row>
    <row r="31" customFormat="false" ht="24" hidden="false" customHeight="true" outlineLevel="0" collapsed="false">
      <c r="B31" s="6" t="s">
        <v>85</v>
      </c>
      <c r="C31" s="18" t="s">
        <v>69</v>
      </c>
      <c r="D31" s="21" t="s">
        <v>69</v>
      </c>
      <c r="E31" s="6" t="s">
        <v>86</v>
      </c>
    </row>
    <row r="32" customFormat="false" ht="30" hidden="false" customHeight="true" outlineLevel="0" collapsed="false">
      <c r="B32" s="23" t="s">
        <v>87</v>
      </c>
      <c r="C32" s="23"/>
      <c r="D32" s="23"/>
      <c r="E32" s="23"/>
    </row>
    <row r="34" customFormat="false" ht="15" hidden="false" customHeight="true" outlineLevel="0" collapsed="false">
      <c r="B34" s="12" t="s">
        <v>88</v>
      </c>
      <c r="C34" s="12"/>
      <c r="D34" s="12"/>
      <c r="E34" s="12"/>
    </row>
    <row r="35" customFormat="false" ht="23.85" hidden="false" customHeight="false" outlineLevel="0" collapsed="false">
      <c r="B35" s="13" t="s">
        <v>89</v>
      </c>
      <c r="C35" s="13" t="s">
        <v>90</v>
      </c>
      <c r="D35" s="13" t="s">
        <v>91</v>
      </c>
      <c r="E35" s="13" t="s">
        <v>92</v>
      </c>
    </row>
    <row r="36" customFormat="false" ht="19.5" hidden="false" customHeight="true" outlineLevel="0" collapsed="false">
      <c r="B36" s="14" t="s">
        <v>93</v>
      </c>
      <c r="C36" s="14"/>
      <c r="D36" s="14"/>
      <c r="E36" s="24" t="str">
        <f aca="false">IF(C36=0,"",D36/C36)</f>
        <v/>
      </c>
    </row>
    <row r="37" customFormat="false" ht="19.5" hidden="false" customHeight="true" outlineLevel="0" collapsed="false">
      <c r="B37" s="15" t="s">
        <v>94</v>
      </c>
      <c r="C37" s="15"/>
      <c r="D37" s="15"/>
      <c r="E37" s="25" t="str">
        <f aca="false">IF(C37=0,"",D37/C37)</f>
        <v/>
      </c>
    </row>
    <row r="38" customFormat="false" ht="19.5" hidden="false" customHeight="true" outlineLevel="0" collapsed="false">
      <c r="B38" s="14" t="s">
        <v>95</v>
      </c>
      <c r="C38" s="14"/>
      <c r="D38" s="14"/>
      <c r="E38" s="24" t="str">
        <f aca="false">IF(C38=0,"",D38/C38)</f>
        <v/>
      </c>
    </row>
    <row r="39" customFormat="false" ht="19.5" hidden="false" customHeight="true" outlineLevel="0" collapsed="false">
      <c r="B39" s="15" t="s">
        <v>96</v>
      </c>
      <c r="C39" s="15"/>
      <c r="D39" s="15"/>
      <c r="E39" s="25" t="str">
        <f aca="false">IF(C39=0,"",D39/C39)</f>
        <v/>
      </c>
    </row>
    <row r="40" customFormat="false" ht="19.5" hidden="false" customHeight="true" outlineLevel="0" collapsed="false">
      <c r="B40" s="14" t="s">
        <v>97</v>
      </c>
      <c r="C40" s="14"/>
      <c r="D40" s="14"/>
      <c r="E40" s="24" t="str">
        <f aca="false">IF(C40=0,"",D40/C40)</f>
        <v/>
      </c>
    </row>
    <row r="41" customFormat="false" ht="19.5" hidden="false" customHeight="true" outlineLevel="0" collapsed="false">
      <c r="B41" s="15" t="s">
        <v>98</v>
      </c>
      <c r="C41" s="15"/>
      <c r="D41" s="15"/>
      <c r="E41" s="25" t="str">
        <f aca="false">IF(C41=0,"",D41/C41)</f>
        <v/>
      </c>
    </row>
    <row r="42" customFormat="false" ht="19.5" hidden="false" customHeight="true" outlineLevel="0" collapsed="false">
      <c r="B42" s="14" t="s">
        <v>99</v>
      </c>
      <c r="C42" s="14"/>
      <c r="D42" s="14"/>
      <c r="E42" s="24" t="str">
        <f aca="false">IF(C42=0,"",D42/C42)</f>
        <v/>
      </c>
    </row>
    <row r="43" customFormat="false" ht="19.5" hidden="false" customHeight="true" outlineLevel="0" collapsed="false">
      <c r="B43" s="15" t="s">
        <v>100</v>
      </c>
      <c r="C43" s="15"/>
      <c r="D43" s="15"/>
      <c r="E43" s="25" t="str">
        <f aca="false">IF(C43=0,"",D43/C43)</f>
        <v/>
      </c>
    </row>
    <row r="44" customFormat="false" ht="15" hidden="false" customHeight="false" outlineLevel="0" collapsed="false">
      <c r="B44" s="26" t="s">
        <v>101</v>
      </c>
      <c r="C44" s="26" t="n">
        <f aca="false">SUM(C36:C43)</f>
        <v>0</v>
      </c>
      <c r="D44" s="26" t="n">
        <f aca="false">SUM(D36:D43)</f>
        <v>0</v>
      </c>
      <c r="E44" s="27" t="str">
        <f aca="false">IF(C44=0,"",D44/C44)</f>
        <v/>
      </c>
    </row>
    <row r="45" customFormat="false" ht="42" hidden="false" customHeight="true" outlineLevel="0" collapsed="false">
      <c r="B45" s="28" t="s">
        <v>102</v>
      </c>
      <c r="C45" s="28"/>
      <c r="D45" s="28"/>
      <c r="E45" s="28"/>
    </row>
  </sheetData>
  <mergeCells count="8">
    <mergeCell ref="B2:E2"/>
    <mergeCell ref="B4:E4"/>
    <mergeCell ref="B12:E12"/>
    <mergeCell ref="B14:E14"/>
    <mergeCell ref="B23:E23"/>
    <mergeCell ref="B32:E32"/>
    <mergeCell ref="B34:E34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44"/>
  </cols>
  <sheetData>
    <row r="2" customFormat="false" ht="27.75" hidden="false" customHeight="true" outlineLevel="0" collapsed="false">
      <c r="B2" s="11" t="s">
        <v>103</v>
      </c>
      <c r="C2" s="11"/>
      <c r="D2" s="11"/>
      <c r="E2" s="11"/>
    </row>
    <row r="4" customFormat="false" ht="43.5" hidden="false" customHeight="true" outlineLevel="0" collapsed="false">
      <c r="B4" s="29" t="s">
        <v>104</v>
      </c>
      <c r="C4" s="29"/>
      <c r="D4" s="29"/>
      <c r="E4" s="29"/>
    </row>
    <row r="6" customFormat="false" ht="15" hidden="false" customHeight="true" outlineLevel="0" collapsed="false">
      <c r="B6" s="12" t="s">
        <v>105</v>
      </c>
      <c r="C6" s="12"/>
      <c r="D6" s="12"/>
      <c r="E6" s="12"/>
    </row>
    <row r="7" customFormat="false" ht="15" hidden="false" customHeight="false" outlineLevel="0" collapsed="false">
      <c r="B7" s="13" t="s">
        <v>106</v>
      </c>
      <c r="C7" s="13" t="s">
        <v>107</v>
      </c>
      <c r="D7" s="13" t="s">
        <v>108</v>
      </c>
      <c r="E7" s="13" t="s">
        <v>109</v>
      </c>
    </row>
    <row r="8" customFormat="false" ht="39.75" hidden="false" customHeight="true" outlineLevel="0" collapsed="false">
      <c r="B8" s="18" t="s">
        <v>110</v>
      </c>
      <c r="C8" s="6" t="s">
        <v>111</v>
      </c>
      <c r="D8" s="6" t="s">
        <v>112</v>
      </c>
      <c r="E8" s="6" t="s">
        <v>113</v>
      </c>
    </row>
    <row r="9" customFormat="false" ht="39.75" hidden="false" customHeight="true" outlineLevel="0" collapsed="false">
      <c r="B9" s="20" t="s">
        <v>114</v>
      </c>
      <c r="C9" s="9" t="s">
        <v>115</v>
      </c>
      <c r="D9" s="9" t="s">
        <v>116</v>
      </c>
      <c r="E9" s="9" t="s">
        <v>117</v>
      </c>
    </row>
    <row r="10" customFormat="false" ht="39.75" hidden="false" customHeight="true" outlineLevel="0" collapsed="false">
      <c r="B10" s="18" t="s">
        <v>118</v>
      </c>
      <c r="C10" s="6" t="s">
        <v>119</v>
      </c>
      <c r="D10" s="6" t="s">
        <v>120</v>
      </c>
      <c r="E10" s="6" t="s">
        <v>121</v>
      </c>
    </row>
    <row r="11" customFormat="false" ht="39.75" hidden="false" customHeight="true" outlineLevel="0" collapsed="false">
      <c r="B11" s="20" t="s">
        <v>122</v>
      </c>
      <c r="C11" s="9" t="s">
        <v>123</v>
      </c>
      <c r="D11" s="9" t="s">
        <v>124</v>
      </c>
      <c r="E11" s="9" t="s">
        <v>125</v>
      </c>
    </row>
    <row r="12" customFormat="false" ht="39.75" hidden="false" customHeight="true" outlineLevel="0" collapsed="false">
      <c r="B12" s="18" t="s">
        <v>126</v>
      </c>
      <c r="C12" s="6" t="s">
        <v>127</v>
      </c>
      <c r="D12" s="6" t="s">
        <v>128</v>
      </c>
      <c r="E12" s="6" t="s">
        <v>129</v>
      </c>
    </row>
    <row r="14" customFormat="false" ht="15" hidden="false" customHeight="true" outlineLevel="0" collapsed="false">
      <c r="B14" s="12" t="s">
        <v>130</v>
      </c>
      <c r="C14" s="12"/>
      <c r="D14" s="12"/>
      <c r="E14" s="12"/>
    </row>
    <row r="15" customFormat="false" ht="15" hidden="false" customHeight="false" outlineLevel="0" collapsed="false">
      <c r="B15" s="17" t="s">
        <v>131</v>
      </c>
      <c r="C15" s="17" t="s">
        <v>16</v>
      </c>
      <c r="D15" s="17" t="s">
        <v>17</v>
      </c>
      <c r="E15" s="17" t="s">
        <v>106</v>
      </c>
    </row>
    <row r="16" customFormat="false" ht="21.75" hidden="false" customHeight="true" outlineLevel="0" collapsed="false">
      <c r="B16" s="6" t="s">
        <v>132</v>
      </c>
      <c r="C16" s="18" t="s">
        <v>133</v>
      </c>
      <c r="D16" s="6" t="s">
        <v>134</v>
      </c>
      <c r="E16" s="6" t="s">
        <v>135</v>
      </c>
    </row>
    <row r="17" customFormat="false" ht="21.75" hidden="false" customHeight="true" outlineLevel="0" collapsed="false">
      <c r="B17" s="9" t="s">
        <v>136</v>
      </c>
      <c r="C17" s="20" t="s">
        <v>137</v>
      </c>
      <c r="D17" s="9" t="s">
        <v>134</v>
      </c>
      <c r="E17" s="9" t="s">
        <v>135</v>
      </c>
    </row>
    <row r="18" customFormat="false" ht="21.75" hidden="false" customHeight="true" outlineLevel="0" collapsed="false">
      <c r="B18" s="6" t="s">
        <v>138</v>
      </c>
      <c r="C18" s="18" t="s">
        <v>139</v>
      </c>
      <c r="D18" s="6" t="s">
        <v>140</v>
      </c>
      <c r="E18" s="6" t="s">
        <v>141</v>
      </c>
    </row>
    <row r="19" customFormat="false" ht="21.75" hidden="false" customHeight="true" outlineLevel="0" collapsed="false">
      <c r="B19" s="9" t="s">
        <v>142</v>
      </c>
      <c r="C19" s="20" t="s">
        <v>143</v>
      </c>
      <c r="D19" s="9" t="s">
        <v>140</v>
      </c>
      <c r="E19" s="9" t="s">
        <v>141</v>
      </c>
    </row>
    <row r="20" customFormat="false" ht="21.75" hidden="false" customHeight="true" outlineLevel="0" collapsed="false">
      <c r="B20" s="6" t="s">
        <v>144</v>
      </c>
      <c r="C20" s="18" t="s">
        <v>145</v>
      </c>
      <c r="D20" s="6" t="s">
        <v>134</v>
      </c>
      <c r="E20" s="6" t="s">
        <v>146</v>
      </c>
    </row>
    <row r="22" customFormat="false" ht="15" hidden="false" customHeight="true" outlineLevel="0" collapsed="false">
      <c r="B22" s="12" t="s">
        <v>147</v>
      </c>
      <c r="C22" s="12"/>
      <c r="D22" s="12"/>
      <c r="E22" s="12"/>
    </row>
    <row r="23" customFormat="false" ht="15" hidden="false" customHeight="false" outlineLevel="0" collapsed="false">
      <c r="B23" s="13" t="s">
        <v>148</v>
      </c>
      <c r="C23" s="13" t="s">
        <v>149</v>
      </c>
      <c r="D23" s="13" t="s">
        <v>150</v>
      </c>
      <c r="E23" s="13" t="s">
        <v>151</v>
      </c>
    </row>
    <row r="24" customFormat="false" ht="19.5" hidden="false" customHeight="true" outlineLevel="0" collapsed="false">
      <c r="B24" s="14" t="s">
        <v>152</v>
      </c>
      <c r="C24" s="14"/>
      <c r="D24" s="14"/>
      <c r="E24" s="30" t="str">
        <f aca="false">IF(C24=0,"",D24/C24)</f>
        <v/>
      </c>
    </row>
    <row r="25" customFormat="false" ht="19.5" hidden="false" customHeight="true" outlineLevel="0" collapsed="false">
      <c r="B25" s="15" t="s">
        <v>153</v>
      </c>
      <c r="C25" s="15"/>
      <c r="D25" s="15"/>
      <c r="E25" s="31" t="str">
        <f aca="false">IF(C25=0,"",D25/C25)</f>
        <v/>
      </c>
    </row>
    <row r="26" customFormat="false" ht="19.5" hidden="false" customHeight="true" outlineLevel="0" collapsed="false">
      <c r="B26" s="14" t="s">
        <v>154</v>
      </c>
      <c r="C26" s="14"/>
      <c r="D26" s="14"/>
      <c r="E26" s="30" t="str">
        <f aca="false">IF(C26=0,"",D26/C26)</f>
        <v/>
      </c>
    </row>
    <row r="27" customFormat="false" ht="19.5" hidden="false" customHeight="true" outlineLevel="0" collapsed="false">
      <c r="B27" s="15" t="s">
        <v>155</v>
      </c>
      <c r="C27" s="15"/>
      <c r="D27" s="15"/>
      <c r="E27" s="31" t="str">
        <f aca="false">IF(C27=0,"",D27/C27)</f>
        <v/>
      </c>
    </row>
    <row r="28" customFormat="false" ht="19.5" hidden="false" customHeight="true" outlineLevel="0" collapsed="false">
      <c r="B28" s="14" t="s">
        <v>156</v>
      </c>
      <c r="C28" s="14"/>
      <c r="D28" s="14"/>
      <c r="E28" s="30" t="str">
        <f aca="false">IF(C28=0,"",D28/C28)</f>
        <v/>
      </c>
    </row>
    <row r="29" customFormat="false" ht="19.5" hidden="false" customHeight="true" outlineLevel="0" collapsed="false">
      <c r="B29" s="15" t="s">
        <v>157</v>
      </c>
      <c r="C29" s="15"/>
      <c r="D29" s="15"/>
      <c r="E29" s="31" t="str">
        <f aca="false">IF(C29=0,"",D29/C29)</f>
        <v/>
      </c>
    </row>
    <row r="30" customFormat="false" ht="15" hidden="false" customHeight="false" outlineLevel="0" collapsed="false">
      <c r="B30" s="26" t="s">
        <v>101</v>
      </c>
      <c r="C30" s="32" t="n">
        <f aca="false">SUM(C24:C29)</f>
        <v>0</v>
      </c>
      <c r="D30" s="32" t="n">
        <f aca="false">SUM(D24:D29)</f>
        <v>0</v>
      </c>
      <c r="E30" s="26"/>
    </row>
    <row r="32" customFormat="false" ht="15" hidden="false" customHeight="true" outlineLevel="0" collapsed="false">
      <c r="B32" s="10" t="s">
        <v>158</v>
      </c>
      <c r="C32" s="10"/>
      <c r="D32" s="10"/>
      <c r="E32" s="10"/>
    </row>
    <row r="33" customFormat="false" ht="15" hidden="false" customHeight="false" outlineLevel="0" collapsed="false">
      <c r="B33" s="10"/>
      <c r="C33" s="10"/>
      <c r="D33" s="10"/>
      <c r="E33" s="10"/>
    </row>
    <row r="34" customFormat="false" ht="15" hidden="false" customHeight="false" outlineLevel="0" collapsed="false">
      <c r="B34" s="10"/>
      <c r="C34" s="10"/>
      <c r="D34" s="10"/>
      <c r="E34" s="10"/>
    </row>
    <row r="35" customFormat="false" ht="15" hidden="false" customHeight="false" outlineLevel="0" collapsed="false">
      <c r="B35" s="10"/>
      <c r="C35" s="10"/>
      <c r="D35" s="10"/>
      <c r="E35" s="10"/>
    </row>
  </sheetData>
  <mergeCells count="6">
    <mergeCell ref="B2:E2"/>
    <mergeCell ref="B4:E4"/>
    <mergeCell ref="B6:E6"/>
    <mergeCell ref="B14:E14"/>
    <mergeCell ref="B22:E22"/>
    <mergeCell ref="B32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2026-05-22T14:45:44Z</dcterms:created>
  <dc:creator>openpyxl</dc:creator>
  <dc:description/>
  <dc:language>en-US</dc:language>
  <cp:lastModifiedBy/>
  <dcterms:modified xsi:type="dcterms:W3CDTF">2026-05-22T14:45:45Z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